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025ACA6-6593-4C7B-80C3-83C92EB97F1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Expert Analysis" sheetId="2" r:id="rId1"/>
    <sheet name="LLM Analysi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2" l="1"/>
  <c r="Q22" i="2" l="1"/>
  <c r="Q21" i="2"/>
  <c r="Q20" i="2"/>
  <c r="Q19" i="2"/>
  <c r="Q17" i="2"/>
  <c r="Q16" i="2"/>
  <c r="Q15" i="2"/>
  <c r="Q14" i="2"/>
  <c r="Q13" i="2"/>
  <c r="Q12" i="2"/>
  <c r="Q11" i="2"/>
  <c r="Q3" i="2"/>
  <c r="Q4" i="2"/>
  <c r="Q5" i="2"/>
  <c r="Q6" i="2"/>
  <c r="Q7" i="2"/>
  <c r="Q8" i="2"/>
  <c r="Q9" i="2"/>
  <c r="Q10" i="2"/>
  <c r="Q2" i="2"/>
  <c r="C9" i="1" a="1"/>
  <c r="C13" i="1" a="1"/>
  <c r="C6" i="1" a="1"/>
  <c r="C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<sst xmlns="http://schemas.openxmlformats.org/spreadsheetml/2006/main" count="54" uniqueCount="45">
  <si>
    <t>Percentage of Complaince with PDPL</t>
  </si>
  <si>
    <t>Circlys</t>
  </si>
  <si>
    <t>Safqah</t>
  </si>
  <si>
    <t>Dinar</t>
  </si>
  <si>
    <t>Tarmeez</t>
  </si>
  <si>
    <t>Malaa</t>
  </si>
  <si>
    <t>Aseel Invest</t>
  </si>
  <si>
    <t>Sahm</t>
  </si>
  <si>
    <t>Hakbah</t>
  </si>
  <si>
    <t>Using Implementing Regulations of PDPL</t>
  </si>
  <si>
    <t>rubric criteria</t>
  </si>
  <si>
    <t>accuracy</t>
  </si>
  <si>
    <t>RAGAS metric</t>
  </si>
  <si>
    <t>GPT</t>
  </si>
  <si>
    <t>ALLaM</t>
  </si>
  <si>
    <t>LLaMa</t>
  </si>
  <si>
    <t>11111111111111111</t>
  </si>
  <si>
    <t>Dawul</t>
  </si>
  <si>
    <t>Sukuk</t>
  </si>
  <si>
    <t>Awaed</t>
  </si>
  <si>
    <t xml:space="preserve">Abyan </t>
  </si>
  <si>
    <t>Manafa</t>
  </si>
  <si>
    <t>Tamra Capital</t>
  </si>
  <si>
    <t>Rakeez</t>
  </si>
  <si>
    <t>Emakn Alarabiya</t>
  </si>
  <si>
    <t>Money Loop</t>
  </si>
  <si>
    <t>Sulfah</t>
  </si>
  <si>
    <t>Ta3meed</t>
  </si>
  <si>
    <t xml:space="preserve">Drahim </t>
  </si>
  <si>
    <t>Mudaraba</t>
  </si>
  <si>
    <t>A1. Right to access data (Article 4 PDPL)</t>
  </si>
  <si>
    <t>A2. Right to correct or update data (Article 4 PDPL)</t>
  </si>
  <si>
    <t>A3. Right to delete data (Article 4 PDPL)</t>
  </si>
  <si>
    <t>B1. Lawfulness fairness and transparency (Article 13 PDPL)</t>
  </si>
  <si>
    <t>C3. User rights clause (Article 4 IR)</t>
  </si>
  <si>
    <t>B3. Data minimization (Article 19 IR)</t>
  </si>
  <si>
    <t>B6. Data security (Article 23 IR)</t>
  </si>
  <si>
    <t>D1. Breach notification (Article 24 IR)</t>
  </si>
  <si>
    <t>C2. Data processing clause(Article 16 IR)</t>
  </si>
  <si>
    <t>C1. Data collection clause (Article 4 IR)</t>
  </si>
  <si>
    <t>B7. Accountability (Article 25, 26 IR)</t>
  </si>
  <si>
    <t>B2. Purpose limitation (Article 11,13 PDPL)</t>
  </si>
  <si>
    <t>B5. Data accuracy (Article 22 IR)</t>
  </si>
  <si>
    <t>B4. Storage limitation (article 18 PDPL, article 8,33 IR)</t>
  </si>
  <si>
    <t>D2. Cross-border data transfer compliance (Article 29 PDPL)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</si>
</sst>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0" fillId="2" borderId="0" xfId="0" applyFill="1"/>
    <xf numFmtId="10" fontId="0" fillId="0" borderId="0" xfId="0" applyNumberFormat="1"/>
    <xf numFmtId="49" fontId="1" fillId="0" borderId="0" xfId="0" applyNumberFormat="1" applyFont="1" applyAlignment="1">
      <alignment horizontal="right"/>
    </xf>
    <xf numFmtId="0" fontId="0" fillId="0" borderId="1" xfId="0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DF16-52EE-4671-BB28-313FD7F56ED8}">
  <dimension ref="A1:Q22"/>
  <sheetViews>
    <sheetView tabSelected="1" workbookViewId="0">
      <selection activeCell="A20" sqref="A20:A22"/>
    </sheetView>
  </sheetViews>
  <sheetFormatPr defaultColWidth="9.140625" defaultRowHeight="15" x14ac:dyDescent="0.25"/>
  <cols>
    <col min="1" max="1" width="15.42578125" style="8" customWidth="1"/>
    <col min="2" max="2" width="29.85546875" style="8" customWidth="1"/>
    <col min="3" max="3" width="29.85546875" style="8" bestFit="1" customWidth="1"/>
    <col min="4" max="4" width="24.140625" style="8" customWidth="1"/>
    <col min="5" max="5" width="36.28515625" style="8" bestFit="1" customWidth="1"/>
    <col min="6" max="6" width="19.7109375" style="8" bestFit="1" customWidth="1"/>
    <col min="7" max="7" width="19.5703125" style="8" bestFit="1" customWidth="1"/>
    <col min="8" max="8" width="19.140625" style="8" bestFit="1" customWidth="1"/>
    <col min="9" max="9" width="16.42578125" style="8" bestFit="1" customWidth="1"/>
    <col min="10" max="10" width="15.28515625" style="8" bestFit="1" customWidth="1"/>
    <col min="11" max="11" width="16.28515625" style="8" bestFit="1" customWidth="1"/>
    <col min="12" max="12" width="23.28515625" style="8" bestFit="1" customWidth="1"/>
    <col min="13" max="13" width="24.140625" style="8" bestFit="1" customWidth="1"/>
    <col min="14" max="14" width="19.42578125" style="8" bestFit="1" customWidth="1"/>
    <col min="15" max="15" width="20.42578125" style="8" bestFit="1" customWidth="1"/>
    <col min="16" max="16" width="37.28515625" style="8" bestFit="1" customWidth="1"/>
    <col min="17" max="17" width="21.28515625" style="8" customWidth="1"/>
    <col min="18" max="16384" width="9.140625" style="8"/>
  </cols>
  <sheetData>
    <row r="1" spans="1:17" ht="30" x14ac:dyDescent="0.25">
      <c r="A1" s="6"/>
      <c r="B1" s="6" t="s">
        <v>30</v>
      </c>
      <c r="C1" s="6" t="s">
        <v>31</v>
      </c>
      <c r="D1" s="7" t="s">
        <v>32</v>
      </c>
      <c r="E1" s="7" t="s">
        <v>33</v>
      </c>
      <c r="F1" s="7" t="s">
        <v>41</v>
      </c>
      <c r="G1" s="7" t="s">
        <v>35</v>
      </c>
      <c r="H1" s="7" t="s">
        <v>43</v>
      </c>
      <c r="I1" s="7" t="s">
        <v>42</v>
      </c>
      <c r="J1" s="7" t="s">
        <v>36</v>
      </c>
      <c r="K1" s="7" t="s">
        <v>40</v>
      </c>
      <c r="L1" s="7" t="s">
        <v>39</v>
      </c>
      <c r="M1" s="7" t="s">
        <v>38</v>
      </c>
      <c r="N1" s="7" t="s">
        <v>34</v>
      </c>
      <c r="O1" s="7" t="s">
        <v>37</v>
      </c>
      <c r="P1" s="7" t="s">
        <v>44</v>
      </c>
      <c r="Q1" s="9" t="s">
        <v>0</v>
      </c>
    </row>
    <row r="2" spans="1:17" x14ac:dyDescent="0.25">
      <c r="A2" s="6" t="s">
        <v>1</v>
      </c>
      <c r="B2" s="8">
        <v>1</v>
      </c>
      <c r="C2" s="8">
        <v>1</v>
      </c>
      <c r="D2" s="8">
        <v>1</v>
      </c>
      <c r="E2" s="8">
        <v>1</v>
      </c>
      <c r="F2" s="8">
        <v>1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</v>
      </c>
      <c r="M2" s="8">
        <v>0</v>
      </c>
      <c r="N2" s="8">
        <v>1</v>
      </c>
      <c r="O2" s="8">
        <v>0</v>
      </c>
      <c r="P2" s="8">
        <v>0</v>
      </c>
      <c r="Q2" s="10">
        <f>SUM(B2:P2)/17</f>
        <v>0.41176470588235292</v>
      </c>
    </row>
    <row r="3" spans="1:17" x14ac:dyDescent="0.25">
      <c r="A3" s="6" t="s">
        <v>2</v>
      </c>
      <c r="B3" s="6">
        <v>1</v>
      </c>
      <c r="C3" s="12">
        <v>0</v>
      </c>
      <c r="D3" s="12">
        <v>1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1</v>
      </c>
      <c r="K3" s="12">
        <v>0</v>
      </c>
      <c r="L3" s="12">
        <v>1</v>
      </c>
      <c r="M3" s="12">
        <v>1</v>
      </c>
      <c r="N3" s="6">
        <v>1</v>
      </c>
      <c r="O3" s="6">
        <v>0</v>
      </c>
      <c r="P3" s="6">
        <v>0</v>
      </c>
      <c r="Q3" s="10">
        <f>SUM(B3:P3)/17</f>
        <v>0.35294117647058826</v>
      </c>
    </row>
    <row r="4" spans="1:17" x14ac:dyDescent="0.25">
      <c r="A4" s="6" t="s">
        <v>3</v>
      </c>
      <c r="B4" s="6">
        <v>1</v>
      </c>
      <c r="C4" s="12">
        <v>1</v>
      </c>
      <c r="D4" s="12">
        <v>1</v>
      </c>
      <c r="E4" s="12">
        <v>1</v>
      </c>
      <c r="F4" s="12">
        <v>1</v>
      </c>
      <c r="G4" s="12">
        <v>1</v>
      </c>
      <c r="H4" s="12">
        <v>0</v>
      </c>
      <c r="I4" s="12">
        <v>1</v>
      </c>
      <c r="J4" s="12">
        <v>1</v>
      </c>
      <c r="K4" s="12">
        <v>0</v>
      </c>
      <c r="L4" s="12">
        <v>1</v>
      </c>
      <c r="M4" s="12">
        <v>1</v>
      </c>
      <c r="N4" s="6">
        <v>1</v>
      </c>
      <c r="O4" s="6">
        <v>0</v>
      </c>
      <c r="P4" s="6">
        <v>0</v>
      </c>
      <c r="Q4" s="10">
        <f>SUM(B4:P4)/17</f>
        <v>0.6470588235294118</v>
      </c>
    </row>
    <row r="5" spans="1:17" x14ac:dyDescent="0.25">
      <c r="A5" s="6" t="s">
        <v>4</v>
      </c>
      <c r="B5" s="6">
        <v>1</v>
      </c>
      <c r="C5" s="6">
        <v>1</v>
      </c>
      <c r="D5" s="6">
        <v>0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1</v>
      </c>
      <c r="K5" s="6">
        <v>0</v>
      </c>
      <c r="L5" s="6">
        <v>1</v>
      </c>
      <c r="M5" s="6">
        <v>1</v>
      </c>
      <c r="N5" s="6">
        <v>1</v>
      </c>
      <c r="O5" s="6">
        <v>0</v>
      </c>
      <c r="P5" s="6">
        <v>0</v>
      </c>
      <c r="Q5" s="10">
        <f>SUM(B5:P5)/17</f>
        <v>0.47058823529411764</v>
      </c>
    </row>
    <row r="6" spans="1:17" x14ac:dyDescent="0.25">
      <c r="A6" s="8" t="s">
        <v>22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0</v>
      </c>
      <c r="H6" s="8">
        <v>1</v>
      </c>
      <c r="I6" s="8">
        <v>0</v>
      </c>
      <c r="J6" s="8">
        <v>1</v>
      </c>
      <c r="K6" s="8">
        <v>0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10">
        <f>SUM(B6:P6)/17</f>
        <v>0.70588235294117652</v>
      </c>
    </row>
    <row r="7" spans="1:17" x14ac:dyDescent="0.25">
      <c r="A7" s="8" t="s">
        <v>5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0</v>
      </c>
      <c r="I7" s="8">
        <v>1</v>
      </c>
      <c r="J7" s="8">
        <v>1</v>
      </c>
      <c r="K7" s="8">
        <v>0</v>
      </c>
      <c r="L7" s="8">
        <v>1</v>
      </c>
      <c r="M7" s="8">
        <v>1</v>
      </c>
      <c r="N7" s="8">
        <v>1</v>
      </c>
      <c r="O7" s="8">
        <v>0</v>
      </c>
      <c r="P7" s="8">
        <v>0</v>
      </c>
      <c r="Q7" s="10">
        <f>SUM(B7:P7)/17</f>
        <v>0.6470588235294118</v>
      </c>
    </row>
    <row r="8" spans="1:17" x14ac:dyDescent="0.25">
      <c r="A8" s="8" t="s">
        <v>6</v>
      </c>
      <c r="B8" s="8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0</v>
      </c>
      <c r="I8" s="8">
        <v>1</v>
      </c>
      <c r="J8" s="8">
        <v>1</v>
      </c>
      <c r="K8" s="8">
        <v>0</v>
      </c>
      <c r="L8" s="8">
        <v>0</v>
      </c>
      <c r="M8" s="8">
        <v>1</v>
      </c>
      <c r="N8" s="8">
        <v>1</v>
      </c>
      <c r="O8" s="8">
        <v>0</v>
      </c>
      <c r="P8" s="8">
        <v>0</v>
      </c>
      <c r="Q8" s="10">
        <f>SUM(B8:P8)/17</f>
        <v>0.58823529411764708</v>
      </c>
    </row>
    <row r="9" spans="1:17" x14ac:dyDescent="0.25">
      <c r="A9" s="8" t="s">
        <v>7</v>
      </c>
      <c r="B9" s="8">
        <v>1</v>
      </c>
      <c r="C9" s="8">
        <v>1</v>
      </c>
      <c r="D9" s="8">
        <v>1</v>
      </c>
      <c r="E9" s="8">
        <v>0</v>
      </c>
      <c r="F9" s="8">
        <v>1</v>
      </c>
      <c r="G9" s="8">
        <v>1</v>
      </c>
      <c r="H9" s="8">
        <v>0</v>
      </c>
      <c r="I9" s="8">
        <v>0</v>
      </c>
      <c r="J9" s="8">
        <v>1</v>
      </c>
      <c r="K9" s="8">
        <v>0</v>
      </c>
      <c r="L9" s="8">
        <v>1</v>
      </c>
      <c r="M9" s="8">
        <v>1</v>
      </c>
      <c r="N9" s="8">
        <v>1</v>
      </c>
      <c r="O9" s="8">
        <v>0</v>
      </c>
      <c r="P9" s="8">
        <v>0</v>
      </c>
      <c r="Q9" s="10">
        <f>SUM(B9:P9)/17</f>
        <v>0.52941176470588236</v>
      </c>
    </row>
    <row r="10" spans="1:17" x14ac:dyDescent="0.25">
      <c r="A10" s="8" t="s">
        <v>8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0</v>
      </c>
      <c r="I10" s="8">
        <v>0</v>
      </c>
      <c r="J10" s="8">
        <v>1</v>
      </c>
      <c r="K10" s="8">
        <v>0</v>
      </c>
      <c r="L10" s="8">
        <v>1</v>
      </c>
      <c r="M10" s="8">
        <v>1</v>
      </c>
      <c r="N10" s="8">
        <v>1</v>
      </c>
      <c r="O10" s="8">
        <v>0</v>
      </c>
      <c r="P10" s="8">
        <v>1</v>
      </c>
      <c r="Q10" s="10">
        <f>SUM(B10:P10)/17</f>
        <v>0.6470588235294118</v>
      </c>
    </row>
    <row r="11" spans="1:17" x14ac:dyDescent="0.25">
      <c r="A11" s="8" t="s">
        <v>17</v>
      </c>
      <c r="B11" s="8">
        <v>0</v>
      </c>
      <c r="C11" s="8">
        <v>0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f>SUM(B11:P11)/17</f>
        <v>0.11764705882352941</v>
      </c>
    </row>
    <row r="12" spans="1:17" x14ac:dyDescent="0.25">
      <c r="A12" s="8" t="s">
        <v>18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</v>
      </c>
      <c r="M12" s="8">
        <v>0</v>
      </c>
      <c r="N12" s="8">
        <v>1</v>
      </c>
      <c r="O12" s="8">
        <v>0</v>
      </c>
      <c r="P12" s="8">
        <v>0</v>
      </c>
      <c r="Q12" s="8">
        <f>SUM(B12:P12)/17</f>
        <v>0.41176470588235292</v>
      </c>
    </row>
    <row r="13" spans="1:17" x14ac:dyDescent="0.25">
      <c r="A13" s="8" t="s">
        <v>19</v>
      </c>
      <c r="B13" s="8">
        <v>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0</v>
      </c>
      <c r="I13" s="8">
        <v>1</v>
      </c>
      <c r="J13" s="8">
        <v>0</v>
      </c>
      <c r="K13" s="8">
        <v>0</v>
      </c>
      <c r="L13" s="8">
        <v>1</v>
      </c>
      <c r="M13" s="8">
        <v>1</v>
      </c>
      <c r="N13" s="8">
        <v>1</v>
      </c>
      <c r="O13" s="8">
        <v>0</v>
      </c>
      <c r="P13" s="8">
        <v>1</v>
      </c>
      <c r="Q13" s="8">
        <f>SUM(B13:P13)/17</f>
        <v>0.6470588235294118</v>
      </c>
    </row>
    <row r="14" spans="1:17" x14ac:dyDescent="0.25">
      <c r="A14" s="8" t="s">
        <v>20</v>
      </c>
      <c r="B14" s="8">
        <v>0</v>
      </c>
      <c r="C14" s="8">
        <v>1</v>
      </c>
      <c r="D14" s="8">
        <v>0</v>
      </c>
      <c r="E14" s="8">
        <v>1</v>
      </c>
      <c r="F14" s="8">
        <v>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8">
        <v>1</v>
      </c>
      <c r="N14" s="8">
        <v>1</v>
      </c>
      <c r="O14" s="8">
        <v>0</v>
      </c>
      <c r="P14" s="8">
        <v>0</v>
      </c>
      <c r="Q14" s="8">
        <f>SUM(B14:P14)/17</f>
        <v>0.35294117647058826</v>
      </c>
    </row>
    <row r="15" spans="1:17" x14ac:dyDescent="0.25">
      <c r="A15" s="8" t="s">
        <v>21</v>
      </c>
      <c r="B15" s="8">
        <v>1</v>
      </c>
      <c r="C15" s="8">
        <v>1</v>
      </c>
      <c r="D15" s="8">
        <v>1</v>
      </c>
      <c r="E15" s="8">
        <v>1</v>
      </c>
      <c r="F15" s="8">
        <v>1</v>
      </c>
      <c r="G15" s="8">
        <v>0</v>
      </c>
      <c r="H15" s="8">
        <v>0</v>
      </c>
      <c r="I15" s="8">
        <v>0</v>
      </c>
      <c r="J15" s="8">
        <v>1</v>
      </c>
      <c r="K15" s="8">
        <v>0</v>
      </c>
      <c r="L15" s="8">
        <v>1</v>
      </c>
      <c r="M15" s="8">
        <v>1</v>
      </c>
      <c r="N15" s="8">
        <v>1</v>
      </c>
      <c r="O15" s="8">
        <v>0</v>
      </c>
      <c r="P15" s="8">
        <v>0</v>
      </c>
      <c r="Q15" s="8">
        <f>SUM(B15:P15)/17</f>
        <v>0.52941176470588236</v>
      </c>
    </row>
    <row r="16" spans="1:17" x14ac:dyDescent="0.25">
      <c r="A16" s="8" t="s">
        <v>23</v>
      </c>
      <c r="B16" s="8">
        <v>1</v>
      </c>
      <c r="C16" s="8">
        <v>0</v>
      </c>
      <c r="D16" s="8">
        <v>0</v>
      </c>
      <c r="E16" s="8">
        <v>1</v>
      </c>
      <c r="F16" s="8">
        <v>1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0</v>
      </c>
      <c r="P16" s="8">
        <v>0</v>
      </c>
      <c r="Q16" s="8">
        <f>SUM(B16:P16)/17</f>
        <v>0.41176470588235292</v>
      </c>
    </row>
    <row r="17" spans="1:17" x14ac:dyDescent="0.25">
      <c r="A17" s="8" t="s">
        <v>24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0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f>SUM(B17:P17)/17</f>
        <v>0.82352941176470584</v>
      </c>
    </row>
    <row r="18" spans="1:17" x14ac:dyDescent="0.25">
      <c r="A18" s="8" t="s">
        <v>25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f t="shared" ref="Q18" si="0">SUM(B18:P18)/17</f>
        <v>0</v>
      </c>
    </row>
    <row r="19" spans="1:17" x14ac:dyDescent="0.25">
      <c r="A19" s="8" t="s">
        <v>26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0</v>
      </c>
      <c r="I19" s="8">
        <v>0</v>
      </c>
      <c r="J19" s="8">
        <v>0</v>
      </c>
      <c r="K19" s="8">
        <v>0</v>
      </c>
      <c r="L19" s="8">
        <v>1</v>
      </c>
      <c r="M19" s="8">
        <v>1</v>
      </c>
      <c r="N19" s="8">
        <v>1</v>
      </c>
      <c r="O19" s="8">
        <v>0</v>
      </c>
      <c r="P19" s="8">
        <v>1</v>
      </c>
      <c r="Q19" s="8">
        <f>SUM(B19:P19)/17</f>
        <v>0.58823529411764708</v>
      </c>
    </row>
    <row r="20" spans="1:17" x14ac:dyDescent="0.25">
      <c r="A20" s="13" t="s">
        <v>27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>
        <v>1</v>
      </c>
      <c r="N20" s="8">
        <v>1</v>
      </c>
      <c r="O20" s="8">
        <v>0</v>
      </c>
      <c r="P20" s="8">
        <v>1</v>
      </c>
      <c r="Q20" s="8">
        <f>SUM(B20:P20)/17</f>
        <v>0.52941176470588236</v>
      </c>
    </row>
    <row r="21" spans="1:17" x14ac:dyDescent="0.25">
      <c r="A21" s="13" t="s">
        <v>28</v>
      </c>
      <c r="B21" s="8">
        <v>1</v>
      </c>
      <c r="C21" s="8">
        <v>1</v>
      </c>
      <c r="D21" s="8">
        <v>0</v>
      </c>
      <c r="E21" s="8">
        <v>1</v>
      </c>
      <c r="F21" s="8">
        <v>1</v>
      </c>
      <c r="G21" s="8">
        <v>0</v>
      </c>
      <c r="H21" s="8">
        <v>0</v>
      </c>
      <c r="I21" s="8">
        <v>0</v>
      </c>
      <c r="J21" s="8">
        <v>1</v>
      </c>
      <c r="K21" s="8">
        <v>0</v>
      </c>
      <c r="L21" s="8">
        <v>1</v>
      </c>
      <c r="M21" s="8">
        <v>1</v>
      </c>
      <c r="N21" s="8">
        <v>1</v>
      </c>
      <c r="O21" s="8">
        <v>0</v>
      </c>
      <c r="P21" s="8">
        <v>0</v>
      </c>
      <c r="Q21" s="8">
        <f>SUM(B21:P21)/17</f>
        <v>0.47058823529411764</v>
      </c>
    </row>
    <row r="22" spans="1:17" x14ac:dyDescent="0.25">
      <c r="A22" s="13" t="s">
        <v>29</v>
      </c>
      <c r="B22" s="8">
        <v>1</v>
      </c>
      <c r="C22" s="8">
        <v>1</v>
      </c>
      <c r="D22" s="8">
        <v>0</v>
      </c>
      <c r="E22" s="8">
        <v>1</v>
      </c>
      <c r="F22" s="8">
        <v>1</v>
      </c>
      <c r="G22" s="8">
        <v>0</v>
      </c>
      <c r="H22" s="8">
        <v>0</v>
      </c>
      <c r="I22" s="8">
        <v>0</v>
      </c>
      <c r="J22" s="8">
        <v>1</v>
      </c>
      <c r="K22" s="8">
        <v>0</v>
      </c>
      <c r="L22" s="8">
        <v>1</v>
      </c>
      <c r="M22" s="8">
        <v>1</v>
      </c>
      <c r="N22" s="8">
        <v>1</v>
      </c>
      <c r="O22" s="8">
        <v>0</v>
      </c>
      <c r="P22" s="8">
        <v>0</v>
      </c>
      <c r="Q22" s="8">
        <f>SUM(B22:P22)/17</f>
        <v>0.47058823529411764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F12" sqref="F12"/>
    </sheetView>
  </sheetViews>
  <sheetFormatPr defaultRowHeight="15" x14ac:dyDescent="0.25"/>
  <cols>
    <col min="1" max="1" width="17.7109375" customWidth="1"/>
    <col min="2" max="2" width="19.28515625" bestFit="1" customWidth="1"/>
    <col min="3" max="3" width="18.42578125" customWidth="1"/>
    <col min="4" max="4" width="13.42578125" customWidth="1"/>
  </cols>
  <sheetData>
    <row r="1" spans="1:4" x14ac:dyDescent="0.25">
      <c r="A1" s="11" t="s">
        <v>9</v>
      </c>
      <c r="B1" s="11"/>
      <c r="C1" s="11"/>
    </row>
    <row r="2" spans="1:4" x14ac:dyDescent="0.25">
      <c r="B2" t="s">
        <v>10</v>
      </c>
      <c r="C2" t="s">
        <v>11</v>
      </c>
      <c r="D2" t="s">
        <v>12</v>
      </c>
    </row>
    <row r="3" spans="1:4" x14ac:dyDescent="0.25">
      <c r="A3" s="3" t="s">
        <v>1</v>
      </c>
    </row>
    <row r="4" spans="1:4" x14ac:dyDescent="0.25">
      <c r="A4" t="s">
        <v>13</v>
      </c>
      <c r="B4" s="1">
        <v>1.11001011111111E+16</v>
      </c>
      <c r="C4" s="1"/>
    </row>
    <row r="5" spans="1:4" x14ac:dyDescent="0.25">
      <c r="A5" t="s">
        <v>14</v>
      </c>
      <c r="B5" s="2">
        <v>1.11010111001011E+16</v>
      </c>
      <c r="C5" s="4" cm="1">
        <f t="array" aca="1" ref="C5" ca="1">SUMPRODUCT(--(MID($B4,ROW(INDIRECT("1:17")),1)=MID($B5,ROW(INDIRECT("1:17")),1)))/17</f>
        <v>0.6470588235294118</v>
      </c>
    </row>
    <row r="6" spans="1:4" x14ac:dyDescent="0.25">
      <c r="A6" t="s">
        <v>15</v>
      </c>
      <c r="B6" s="5" t="s">
        <v>16</v>
      </c>
      <c r="C6" s="4" cm="1">
        <f t="array" aca="1" ref="C6" ca="1">SUMPRODUCT(--(MID($B4,ROW(INDIRECT("1:17")),1)=MID($B6,ROW(INDIRECT("1:17")),1)))/17</f>
        <v>0.70588235294117652</v>
      </c>
    </row>
    <row r="7" spans="1:4" x14ac:dyDescent="0.25">
      <c r="A7" s="3" t="s">
        <v>2</v>
      </c>
    </row>
    <row r="8" spans="1:4" x14ac:dyDescent="0.25">
      <c r="A8" t="s">
        <v>13</v>
      </c>
      <c r="B8" s="1">
        <v>1.01001010110111E+16</v>
      </c>
    </row>
    <row r="9" spans="1:4" x14ac:dyDescent="0.25">
      <c r="A9" t="s">
        <v>14</v>
      </c>
      <c r="B9" s="1">
        <v>1.1010101101101E+16</v>
      </c>
      <c r="C9" s="4" cm="1">
        <f t="array" aca="1" ref="C9" ca="1">SUMPRODUCT(--(MID($B8,ROW(INDIRECT("1:17")),1)=MID($B9,ROW(INDIRECT("1:17")),1)))/17</f>
        <v>0.52941176470588236</v>
      </c>
    </row>
    <row r="10" spans="1:4" x14ac:dyDescent="0.25">
      <c r="A10" t="s">
        <v>15</v>
      </c>
    </row>
    <row r="11" spans="1:4" x14ac:dyDescent="0.25">
      <c r="A11" s="3" t="s">
        <v>3</v>
      </c>
    </row>
    <row r="12" spans="1:4" x14ac:dyDescent="0.25">
      <c r="A12" t="s">
        <v>13</v>
      </c>
      <c r="B12" s="1">
        <v>1.11101111111111E+16</v>
      </c>
    </row>
    <row r="13" spans="1:4" x14ac:dyDescent="0.25">
      <c r="A13" t="s">
        <v>14</v>
      </c>
      <c r="B13" s="1">
        <v>1.1101001001E+16</v>
      </c>
      <c r="C13" s="4" cm="1">
        <f t="array" aca="1" ref="C13" ca="1">SUMPRODUCT(--(MID($B12,ROW(INDIRECT("1:17")),1)=MID($B13,ROW(INDIRECT("1:17")),1)))/17</f>
        <v>0.41176470588235292</v>
      </c>
    </row>
    <row r="14" spans="1:4" x14ac:dyDescent="0.25">
      <c r="A14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Expert Analysis</vt:lpstr>
      <vt:lpstr>LLM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RamezBerkdar,S. Shahed</cp:lastModifiedBy>
  <cp:revision/>
  <dcterms:created xsi:type="dcterms:W3CDTF">2025-09-09T07:51:52Z</dcterms:created>
  <dcterms:modified xsi:type="dcterms:W3CDTF">2026-10-06T11:14:29Z</dcterms:modified>
  <cp:category/>
  <cp:contentStatus/>
</cp:coreProperties>
</file>